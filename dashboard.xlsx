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Data" sheetId="2" state="visible" r:id="rId4"/>
  </sheets>
  <definedNames>
    <definedName function="false" hidden="false" localSheetId="0" name="_xlnm.Print_Area" vbProcedure="false">Dashboard!$A$1:$L$47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<sst xmlns="http://schemas.openxmlformats.org/spreadsheetml/2006/main" count="71" uniqueCount="57">
  <si>
    <t xml:space="preserve">TEXTILE WEAVING OPERATIONS — REJECTION &amp; PRODUCTION ANALYTICS</t>
  </si>
  <si>
    <t xml:space="preserve">Source: Evince Textiles Ltd. weaving dataset  |  Ahmed &amp; Uddin, Data in Brief (Elsevier), DOI 10.1016/j.dib.2023.108995  |  Jan–Sep 2013  |  10,382 cleaned rejection records</t>
  </si>
  <si>
    <t xml:space="preserve">OVERALL REJECTION RATE</t>
  </si>
  <si>
    <t xml:space="preserve">TOTAL PRODUCTION (YDS)</t>
  </si>
  <si>
    <t xml:space="preserve">TOTAL REJECTION (YDS)</t>
  </si>
  <si>
    <t xml:space="preserve">RECORDS ANALYZED</t>
  </si>
  <si>
    <t xml:space="preserve">Volume-weighted, all records</t>
  </si>
  <si>
    <t xml:space="preserve">Rejection dataset total</t>
  </si>
  <si>
    <t xml:space="preserve">After cleaning (raw: 22,010)</t>
  </si>
  <si>
    <t xml:space="preserve">Monthly Production Trend</t>
  </si>
  <si>
    <t xml:space="preserve">Rejection Rate by Segment</t>
  </si>
  <si>
    <t xml:space="preserve">Highest vs Lowest Rejection-Rate Constructions</t>
  </si>
  <si>
    <t xml:space="preserve">Key Insights</t>
  </si>
  <si>
    <t xml:space="preserve">●  Overall rejection rate is 0.861% (volume-weighted, 10,382 records) — the project baseline.</t>
  </si>
  <si>
    <t xml:space="preserve">●  Double/Blended-warp orders reject at 1.466% vs. 0.848% for Single warp (~73% relatively higher).</t>
  </si>
  <si>
    <t xml:space="preserve">●  130+ EPI (denser warp) constructions reject at 1.364% vs. ~0.80% for looser constructions.</t>
  </si>
  <si>
    <t xml:space="preserve">●  Rejection is concentrated: best vs. worst construction spans 0.402%–3.751% (~9x spread).</t>
  </si>
  <si>
    <t xml:space="preserve">●  EPI correlation with rejection rate is real but weak (r = 0.106) — not a strong standalone driver.</t>
  </si>
  <si>
    <t xml:space="preserve">Note: This dataset (Evince Textiles Ltd., Bangladesh, 2013) is used to demonstrate the analytical methodology. It is not the same company as the PDF case study used for business framing. All figures above are reproducible from sql/03–05 and the Data sheet.</t>
  </si>
  <si>
    <t xml:space="preserve">Monthly Production (production table, 33,194 cleaned rows)</t>
  </si>
  <si>
    <t xml:space="preserve">Month</t>
  </si>
  <si>
    <t xml:space="preserve">total_pdn_per_machine</t>
  </si>
  <si>
    <t xml:space="preserve">January</t>
  </si>
  <si>
    <t xml:space="preserve">February</t>
  </si>
  <si>
    <t xml:space="preserve">March</t>
  </si>
  <si>
    <t xml:space="preserve">April</t>
  </si>
  <si>
    <t xml:space="preserve">May</t>
  </si>
  <si>
    <t xml:space="preserve">June</t>
  </si>
  <si>
    <t xml:space="preserve">July</t>
  </si>
  <si>
    <t xml:space="preserve">August</t>
  </si>
  <si>
    <t xml:space="preserve">September</t>
  </si>
  <si>
    <t xml:space="preserve">Rejection Rate by Yarn Type (rejection table, 10,382 cleaned rows)</t>
  </si>
  <si>
    <t xml:space="preserve">yarn_type</t>
  </si>
  <si>
    <t xml:space="preserve">n_orders</t>
  </si>
  <si>
    <t xml:space="preserve">total_pdn</t>
  </si>
  <si>
    <t xml:space="preserve">total_rej</t>
  </si>
  <si>
    <t xml:space="preserve">rejection_rate_pct</t>
  </si>
  <si>
    <t xml:space="preserve">Double/Blended</t>
  </si>
  <si>
    <t xml:space="preserve">Single</t>
  </si>
  <si>
    <t xml:space="preserve">Rejection Rate by EPI Band</t>
  </si>
  <si>
    <t xml:space="preserve">epi_band</t>
  </si>
  <si>
    <t xml:space="preserve">&lt;100 EPI</t>
  </si>
  <si>
    <t xml:space="preserve">100-129 EPI</t>
  </si>
  <si>
    <t xml:space="preserve">130+ EPI</t>
  </si>
  <si>
    <t xml:space="preserve">Top 5 Highest-Rejection Constructions (volume &gt; 100,000 yds)</t>
  </si>
  <si>
    <t xml:space="preserve">Construction</t>
  </si>
  <si>
    <t xml:space="preserve">40x40/140x94</t>
  </si>
  <si>
    <t xml:space="preserve">60x60/160x100</t>
  </si>
  <si>
    <t xml:space="preserve">40+40/2x40/110x80</t>
  </si>
  <si>
    <t xml:space="preserve">40x40/120x100</t>
  </si>
  <si>
    <t xml:space="preserve">50x50/140x70</t>
  </si>
  <si>
    <t xml:space="preserve">Bottom 5 (Best) Constructions (volume &gt; 100,000 yds)</t>
  </si>
  <si>
    <t xml:space="preserve">50x50/144x100</t>
  </si>
  <si>
    <t xml:space="preserve">50x50/100x84</t>
  </si>
  <si>
    <t xml:space="preserve">40x40/92x70</t>
  </si>
  <si>
    <t xml:space="preserve">40x40/110x80</t>
  </si>
  <si>
    <t xml:space="preserve">50x50/130x90</t>
  </si>
</sst>
</file>

<file path=xl/styles.xml><?xml version="1.0" encoding="utf-8"?>
<styleSheet xmlns="http://schemas.openxmlformats.org/spreadsheetml/2006/main">
  <numFmts count="3">
    <numFmt numFmtId="164" formatCode="General"/>
    <numFmt numFmtId="165" formatCode="#,##0"/>
    <numFmt numFmtId="166" formatCode="0.000\%"/>
  </numFmts>
  <fonts count="18">
    <font>
      <sz val="11"/>
      <color theme="1"/>
      <name val="Calibri"/>
      <family val="2"/>
      <charset val="1"/>
    </font>
    <font>
      <sz val="10"/>
      <name val="Arial"/>
      <family val="0"/>
    </font>
    <font>
      <sz val="10"/>
      <name val="Arial"/>
      <family val="0"/>
    </font>
    <font>
      <sz val="10"/>
      <name val="Arial"/>
      <family val="0"/>
    </font>
    <font>
      <b val="true"/>
      <sz val="20"/>
      <color rgb="FFFFFFFF"/>
      <name val="Calibri"/>
      <family val="0"/>
      <charset val="1"/>
    </font>
    <font>
      <i val="true"/>
      <sz val="10"/>
      <color rgb="FF4A4A4A"/>
      <name val="Calibri"/>
      <family val="0"/>
      <charset val="1"/>
    </font>
    <font>
      <sz val="10.5"/>
      <color rgb="FF6B7A99"/>
      <name val="Calibri"/>
      <family val="0"/>
      <charset val="1"/>
    </font>
    <font>
      <b val="true"/>
      <sz val="24"/>
      <color rgb="FF0A2647"/>
      <name val="Calibri"/>
      <family val="0"/>
      <charset val="1"/>
    </font>
    <font>
      <i val="true"/>
      <sz val="8.5"/>
      <color rgb="FF9AA5B5"/>
      <name val="Calibri"/>
      <family val="0"/>
      <charset val="1"/>
    </font>
    <font>
      <b val="true"/>
      <sz val="13"/>
      <color rgb="FFFFFFFF"/>
      <name val="Calibri"/>
      <family val="0"/>
      <charset val="1"/>
    </font>
    <font>
      <sz val="10.5"/>
      <color rgb="FF1F2937"/>
      <name val="Calibri"/>
      <family val="0"/>
      <charset val="1"/>
    </font>
    <font>
      <i val="true"/>
      <sz val="9"/>
      <color rgb="FF6B7A99"/>
      <name val="Calibri"/>
      <family val="0"/>
      <charset val="1"/>
    </font>
    <font>
      <b val="true"/>
      <sz val="18"/>
      <color rgb="FF000000"/>
      <name val="Calibri"/>
      <family val="2"/>
    </font>
    <font>
      <sz val="10"/>
      <color rgb="FF000000"/>
      <name val="Calibri"/>
      <family val="2"/>
    </font>
    <font>
      <b val="true"/>
      <sz val="10"/>
      <color rgb="FF000000"/>
      <name val="Calibri"/>
      <family val="2"/>
    </font>
    <font>
      <b val="true"/>
      <sz val="11"/>
      <name val="Arial"/>
      <family val="0"/>
      <charset val="1"/>
    </font>
    <font>
      <b val="true"/>
      <sz val="11"/>
      <color rgb="FFFFFFFF"/>
      <name val="Arial"/>
      <family val="0"/>
      <charset val="1"/>
    </font>
    <font>
      <sz val="10"/>
      <name val="Arial"/>
      <family val="0"/>
      <charset val="1"/>
    </font>
  </fonts>
  <fills count="6">
    <fill>
      <patternFill patternType="none"/>
    </fill>
    <fill>
      <patternFill patternType="gray125"/>
    </fill>
    <fill>
      <patternFill patternType="solid">
        <fgColor rgb="FF0A2647"/>
        <bgColor rgb="FF1F2937"/>
      </patternFill>
    </fill>
    <fill>
      <patternFill patternType="solid">
        <fgColor rgb="FFEAF1FA"/>
        <bgColor rgb="FFF7F9FC"/>
      </patternFill>
    </fill>
    <fill>
      <patternFill patternType="solid">
        <fgColor rgb="FFF7F9FC"/>
        <bgColor rgb="FFFFFFFF"/>
      </patternFill>
    </fill>
    <fill>
      <patternFill patternType="solid">
        <fgColor rgb="FFFFFFFF"/>
        <bgColor rgb="FFF7F9FC"/>
      </patternFill>
    </fill>
  </fills>
  <borders count="3">
    <border diagonalUp="false" diagonalDown="false">
      <left/>
      <right/>
      <top/>
      <bottom/>
      <diagonal/>
    </border>
    <border diagonalUp="false" diagonalDown="false">
      <left style="thin">
        <color rgb="FFD9E2F3"/>
      </left>
      <right style="thin">
        <color rgb="FFD9E2F3"/>
      </right>
      <top style="thin">
        <color rgb="FFD9E2F3"/>
      </top>
      <bottom style="thin">
        <color rgb="FFD9E2F3"/>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center" textRotation="0" wrapText="false" indent="1"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center" vertical="bottom" textRotation="0" wrapText="false" indent="0" shrinkToFit="false"/>
      <protection locked="true" hidden="false"/>
    </xf>
    <xf numFmtId="164" fontId="9" fillId="2" borderId="0" xfId="0" applyFont="true" applyBorder="true" applyAlignment="true" applyProtection="false">
      <alignment horizontal="general" vertical="center" textRotation="0" wrapText="false" indent="1" shrinkToFit="false"/>
      <protection locked="true" hidden="false"/>
    </xf>
    <xf numFmtId="164" fontId="10" fillId="4" borderId="1" xfId="0" applyFont="true" applyBorder="true" applyAlignment="true" applyProtection="false">
      <alignment horizontal="left" vertical="top" textRotation="0" wrapText="true" indent="1"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2" borderId="2" xfId="0" applyFont="true" applyBorder="true" applyAlignment="true" applyProtection="false">
      <alignment horizontal="general" vertical="bottom" textRotation="0" wrapText="false" indent="0" shrinkToFit="false"/>
      <protection locked="true" hidden="false"/>
    </xf>
    <xf numFmtId="164" fontId="17" fillId="5" borderId="1" xfId="0" applyFont="true" applyBorder="true" applyAlignment="true" applyProtection="false">
      <alignment horizontal="general" vertical="bottom" textRotation="0" wrapText="false" indent="0" shrinkToFit="false"/>
      <protection locked="true" hidden="false"/>
    </xf>
    <xf numFmtId="165" fontId="17" fillId="5" borderId="1" xfId="0" applyFont="true" applyBorder="true" applyAlignment="true" applyProtection="false">
      <alignment horizontal="general" vertical="bottom" textRotation="0" wrapText="false" indent="0" shrinkToFit="false"/>
      <protection locked="true" hidden="false"/>
    </xf>
    <xf numFmtId="164" fontId="17" fillId="4" borderId="1" xfId="0" applyFont="true" applyBorder="true" applyAlignment="true" applyProtection="false">
      <alignment horizontal="general" vertical="bottom" textRotation="0" wrapText="false" indent="0" shrinkToFit="false"/>
      <protection locked="true" hidden="false"/>
    </xf>
    <xf numFmtId="165" fontId="17" fillId="4" borderId="1" xfId="0" applyFont="true" applyBorder="true" applyAlignment="true" applyProtection="false">
      <alignment horizontal="general" vertical="bottom" textRotation="0" wrapText="false" indent="0" shrinkToFit="false"/>
      <protection locked="true" hidden="false"/>
    </xf>
    <xf numFmtId="166" fontId="17" fillId="5" borderId="1" xfId="0" applyFont="true" applyBorder="true" applyAlignment="true" applyProtection="false">
      <alignment horizontal="general" vertical="bottom" textRotation="0" wrapText="false" indent="0" shrinkToFit="false"/>
      <protection locked="true" hidden="false"/>
    </xf>
    <xf numFmtId="166" fontId="17" fillId="4"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6B7A99"/>
      <rgbColor rgb="FF9999FF"/>
      <rgbColor rgb="FF993366"/>
      <rgbColor rgb="FFF7F9FC"/>
      <rgbColor rgb="FFEAF1F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2F3"/>
      <rgbColor rgb="FFCCFFCC"/>
      <rgbColor rgb="FFFFFF99"/>
      <rgbColor rgb="FFB3B3B3"/>
      <rgbColor rgb="FFFF99CC"/>
      <rgbColor rgb="FFCC99FF"/>
      <rgbColor rgb="FFFFCC99"/>
      <rgbColor rgb="FF3366FF"/>
      <rgbColor rgb="FF33CCCC"/>
      <rgbColor rgb="FF99CC00"/>
      <rgbColor rgb="FFFFCC00"/>
      <rgbColor rgb="FFFF9900"/>
      <rgbColor rgb="FFFF6600"/>
      <rgbColor rgb="FF4F81BD"/>
      <rgbColor rgb="FF9AA5B5"/>
      <rgbColor rgb="FF0A2647"/>
      <rgbColor rgb="FF339966"/>
      <rgbColor rgb="FF003300"/>
      <rgbColor rgb="FF4A4A4A"/>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Production (yds)</a:t>
            </a:r>
          </a:p>
        </c:rich>
      </c:tx>
      <c:overlay val="0"/>
      <c:spPr>
        <a:noFill/>
        <a:ln w="0">
          <a:noFill/>
        </a:ln>
      </c:spPr>
    </c:title>
    <c:autoTitleDeleted val="0"/>
    <c:plotArea>
      <c:lineChart>
        <c:grouping val="standard"/>
        <c:varyColors val="0"/>
        <c:ser>
          <c:idx val="0"/>
          <c:order val="0"/>
          <c:tx>
            <c:strRef>
              <c:f>Data!B2</c:f>
              <c:strCache>
                <c:ptCount val="1"/>
                <c:pt idx="0">
                  <c:v>total_pdn_per_machine</c:v>
                </c:pt>
              </c:strCache>
            </c:strRef>
          </c:tx>
          <c:spPr>
            <a:solidFill>
              <a:srgbClr val="ffffff"/>
            </a:solidFill>
            <a:ln w="0">
              <a:solidFill>
                <a:srgbClr val="ffffff"/>
              </a:solidFill>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Data!$A$3:$A$11</c:f>
              <c:strCache>
                <c:ptCount val="9"/>
                <c:pt idx="0">
                  <c:v>January</c:v>
                </c:pt>
                <c:pt idx="1">
                  <c:v>February</c:v>
                </c:pt>
                <c:pt idx="2">
                  <c:v>March</c:v>
                </c:pt>
                <c:pt idx="3">
                  <c:v>April</c:v>
                </c:pt>
                <c:pt idx="4">
                  <c:v>May</c:v>
                </c:pt>
                <c:pt idx="5">
                  <c:v>June</c:v>
                </c:pt>
                <c:pt idx="6">
                  <c:v>July</c:v>
                </c:pt>
                <c:pt idx="7">
                  <c:v>August</c:v>
                </c:pt>
                <c:pt idx="8">
                  <c:v>September</c:v>
                </c:pt>
              </c:strCache>
            </c:strRef>
          </c:cat>
          <c:val>
            <c:numRef>
              <c:f>Data!$B$3:$B$11</c:f>
              <c:numCache>
                <c:formatCode>#,##0</c:formatCode>
                <c:ptCount val="9"/>
                <c:pt idx="0">
                  <c:v>7043818</c:v>
                </c:pt>
                <c:pt idx="1">
                  <c:v>4490673</c:v>
                </c:pt>
                <c:pt idx="2">
                  <c:v>3772806</c:v>
                </c:pt>
                <c:pt idx="3">
                  <c:v>3395465.256</c:v>
                </c:pt>
                <c:pt idx="4">
                  <c:v>4573181</c:v>
                </c:pt>
                <c:pt idx="5">
                  <c:v>5005820</c:v>
                </c:pt>
                <c:pt idx="6">
                  <c:v>3673067</c:v>
                </c:pt>
                <c:pt idx="7">
                  <c:v>3700723</c:v>
                </c:pt>
                <c:pt idx="8">
                  <c:v>4804640</c:v>
                </c:pt>
              </c:numCache>
            </c:numRef>
          </c:val>
          <c:smooth val="1"/>
        </c:ser>
        <c:hiLowLines>
          <c:spPr>
            <a:ln w="0">
              <a:noFill/>
            </a:ln>
          </c:spPr>
        </c:hiLowLines>
        <c:marker val="0"/>
        <c:axId val="12805111"/>
        <c:axId val="82336429"/>
      </c:lineChart>
      <c:catAx>
        <c:axId val="1280511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2336429"/>
        <c:crosses val="autoZero"/>
        <c:auto val="1"/>
        <c:lblAlgn val="ctr"/>
        <c:lblOffset val="100"/>
        <c:noMultiLvlLbl val="0"/>
      </c:catAx>
      <c:valAx>
        <c:axId val="82336429"/>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Yards</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280511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Rejection Rate % by Yarn Type</a:t>
            </a:r>
          </a:p>
        </c:rich>
      </c:tx>
      <c:overlay val="0"/>
      <c:spPr>
        <a:noFill/>
        <a:ln w="0">
          <a:noFill/>
        </a:ln>
      </c:spPr>
    </c:title>
    <c:autoTitleDeleted val="0"/>
    <c:plotArea>
      <c:barChart>
        <c:barDir val="col"/>
        <c:grouping val="clustered"/>
        <c:varyColors val="0"/>
        <c:ser>
          <c:idx val="0"/>
          <c:order val="0"/>
          <c:tx>
            <c:strRef>
              <c:f>Data!E15</c:f>
              <c:strCache>
                <c:ptCount val="1"/>
                <c:pt idx="0">
                  <c:v>rejection_rate_pct</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Data!$A$16:$A$17</c:f>
              <c:strCache>
                <c:ptCount val="2"/>
                <c:pt idx="0">
                  <c:v>Double/Blended</c:v>
                </c:pt>
                <c:pt idx="1">
                  <c:v>Single</c:v>
                </c:pt>
              </c:strCache>
            </c:strRef>
          </c:cat>
          <c:val>
            <c:numRef>
              <c:f>Data!$E$16:$E$17</c:f>
              <c:numCache>
                <c:formatCode>0.000\%</c:formatCode>
                <c:ptCount val="2"/>
                <c:pt idx="0">
                  <c:v>1.46602887766853</c:v>
                </c:pt>
                <c:pt idx="1">
                  <c:v>0.848226394185089</c:v>
                </c:pt>
              </c:numCache>
            </c:numRef>
          </c:val>
        </c:ser>
        <c:gapWidth val="150"/>
        <c:overlap val="0"/>
        <c:axId val="68244408"/>
        <c:axId val="22965410"/>
      </c:barChart>
      <c:catAx>
        <c:axId val="68244408"/>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2965410"/>
        <c:crosses val="autoZero"/>
        <c:auto val="1"/>
        <c:lblAlgn val="ctr"/>
        <c:lblOffset val="100"/>
        <c:noMultiLvlLbl val="0"/>
      </c:catAx>
      <c:valAx>
        <c:axId val="22965410"/>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824440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Rejection Rate % by EPI Density Band</a:t>
            </a:r>
          </a:p>
        </c:rich>
      </c:tx>
      <c:overlay val="0"/>
      <c:spPr>
        <a:noFill/>
        <a:ln w="0">
          <a:noFill/>
        </a:ln>
      </c:spPr>
    </c:title>
    <c:autoTitleDeleted val="0"/>
    <c:plotArea>
      <c:barChart>
        <c:barDir val="col"/>
        <c:grouping val="clustered"/>
        <c:varyColors val="0"/>
        <c:ser>
          <c:idx val="0"/>
          <c:order val="0"/>
          <c:tx>
            <c:strRef>
              <c:f>Data!E21</c:f>
              <c:strCache>
                <c:ptCount val="1"/>
                <c:pt idx="0">
                  <c:v>rejection_rate_pct</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Data!$A$22:$A$24</c:f>
              <c:strCache>
                <c:ptCount val="3"/>
                <c:pt idx="0">
                  <c:v>&lt;100 EPI</c:v>
                </c:pt>
                <c:pt idx="1">
                  <c:v>100-129 EPI</c:v>
                </c:pt>
                <c:pt idx="2">
                  <c:v>130+ EPI</c:v>
                </c:pt>
              </c:strCache>
            </c:strRef>
          </c:cat>
          <c:val>
            <c:numRef>
              <c:f>Data!$E$22:$E$24</c:f>
              <c:numCache>
                <c:formatCode>0.000\%</c:formatCode>
                <c:ptCount val="3"/>
                <c:pt idx="0">
                  <c:v>0.796510846868279</c:v>
                </c:pt>
                <c:pt idx="1">
                  <c:v>0.806861411715867</c:v>
                </c:pt>
                <c:pt idx="2">
                  <c:v>1.36386041928048</c:v>
                </c:pt>
              </c:numCache>
            </c:numRef>
          </c:val>
        </c:ser>
        <c:gapWidth val="150"/>
        <c:overlap val="0"/>
        <c:axId val="99275579"/>
        <c:axId val="78324375"/>
      </c:barChart>
      <c:catAx>
        <c:axId val="99275579"/>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8324375"/>
        <c:crosses val="autoZero"/>
        <c:auto val="1"/>
        <c:lblAlgn val="ctr"/>
        <c:lblOffset val="100"/>
        <c:noMultiLvlLbl val="0"/>
      </c:catAx>
      <c:valAx>
        <c:axId val="78324375"/>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927557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5 Highest-Rejection Constructions</a:t>
            </a:r>
          </a:p>
        </c:rich>
      </c:tx>
      <c:overlay val="0"/>
      <c:spPr>
        <a:noFill/>
        <a:ln w="0">
          <a:noFill/>
        </a:ln>
      </c:spPr>
    </c:title>
    <c:autoTitleDeleted val="0"/>
    <c:plotArea>
      <c:barChart>
        <c:barDir val="col"/>
        <c:grouping val="clustered"/>
        <c:varyColors val="0"/>
        <c:ser>
          <c:idx val="0"/>
          <c:order val="0"/>
          <c:tx>
            <c:strRef>
              <c:f>Data!E28</c:f>
              <c:strCache>
                <c:ptCount val="1"/>
                <c:pt idx="0">
                  <c:v>rejection_rate_pct</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Data!$A$29:$A$33</c:f>
              <c:strCache>
                <c:ptCount val="5"/>
                <c:pt idx="0">
                  <c:v>40x40/140x94</c:v>
                </c:pt>
                <c:pt idx="1">
                  <c:v>60x60/160x100</c:v>
                </c:pt>
                <c:pt idx="2">
                  <c:v>40+40/2x40/110x80</c:v>
                </c:pt>
                <c:pt idx="3">
                  <c:v>40x40/120x100</c:v>
                </c:pt>
                <c:pt idx="4">
                  <c:v>50x50/140x70</c:v>
                </c:pt>
              </c:strCache>
            </c:strRef>
          </c:cat>
          <c:val>
            <c:numRef>
              <c:f>Data!$E$29:$E$33</c:f>
              <c:numCache>
                <c:formatCode>0.000\%</c:formatCode>
                <c:ptCount val="5"/>
                <c:pt idx="0">
                  <c:v>3.75136621654973</c:v>
                </c:pt>
                <c:pt idx="1">
                  <c:v>3.63072105044712</c:v>
                </c:pt>
                <c:pt idx="2">
                  <c:v>1.96268810739508</c:v>
                </c:pt>
                <c:pt idx="3">
                  <c:v>1.96186121364618</c:v>
                </c:pt>
                <c:pt idx="4">
                  <c:v>1.72730570040611</c:v>
                </c:pt>
              </c:numCache>
            </c:numRef>
          </c:val>
        </c:ser>
        <c:gapWidth val="150"/>
        <c:overlap val="0"/>
        <c:axId val="77026941"/>
        <c:axId val="51271186"/>
      </c:barChart>
      <c:catAx>
        <c:axId val="7702694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1271186"/>
        <c:crosses val="autoZero"/>
        <c:auto val="1"/>
        <c:lblAlgn val="ctr"/>
        <c:lblOffset val="100"/>
        <c:noMultiLvlLbl val="0"/>
      </c:catAx>
      <c:valAx>
        <c:axId val="51271186"/>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702694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5 Best (Lowest-Rejection) Constructions</a:t>
            </a:r>
          </a:p>
        </c:rich>
      </c:tx>
      <c:overlay val="0"/>
      <c:spPr>
        <a:noFill/>
        <a:ln w="0">
          <a:noFill/>
        </a:ln>
      </c:spPr>
    </c:title>
    <c:autoTitleDeleted val="0"/>
    <c:plotArea>
      <c:barChart>
        <c:barDir val="col"/>
        <c:grouping val="clustered"/>
        <c:varyColors val="0"/>
        <c:ser>
          <c:idx val="0"/>
          <c:order val="0"/>
          <c:tx>
            <c:strRef>
              <c:f>Data!E37</c:f>
              <c:strCache>
                <c:ptCount val="1"/>
                <c:pt idx="0">
                  <c:v>rejection_rate_pct</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Data!$A$38:$A$42</c:f>
              <c:strCache>
                <c:ptCount val="5"/>
                <c:pt idx="0">
                  <c:v>50x50/144x100</c:v>
                </c:pt>
                <c:pt idx="1">
                  <c:v>50x50/100x84</c:v>
                </c:pt>
                <c:pt idx="2">
                  <c:v>40x40/92x70</c:v>
                </c:pt>
                <c:pt idx="3">
                  <c:v>40x40/110x80</c:v>
                </c:pt>
                <c:pt idx="4">
                  <c:v>50x50/130x90</c:v>
                </c:pt>
              </c:strCache>
            </c:strRef>
          </c:cat>
          <c:val>
            <c:numRef>
              <c:f>Data!$E$38:$E$42</c:f>
              <c:numCache>
                <c:formatCode>0.000\%</c:formatCode>
                <c:ptCount val="5"/>
                <c:pt idx="0">
                  <c:v>0.402044933583045</c:v>
                </c:pt>
                <c:pt idx="1">
                  <c:v>0.499050905953408</c:v>
                </c:pt>
                <c:pt idx="2">
                  <c:v>0.599393857593345</c:v>
                </c:pt>
                <c:pt idx="3">
                  <c:v>0.607455042550734</c:v>
                </c:pt>
                <c:pt idx="4">
                  <c:v>0.634313690454919</c:v>
                </c:pt>
              </c:numCache>
            </c:numRef>
          </c:val>
        </c:ser>
        <c:gapWidth val="150"/>
        <c:overlap val="0"/>
        <c:axId val="36897793"/>
        <c:axId val="96698770"/>
      </c:barChart>
      <c:catAx>
        <c:axId val="36897793"/>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6698770"/>
        <c:crosses val="autoZero"/>
        <c:auto val="1"/>
        <c:lblAlgn val="ctr"/>
        <c:lblOffset val="100"/>
        <c:noMultiLvlLbl val="0"/>
      </c:catAx>
      <c:valAx>
        <c:axId val="96698770"/>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689779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12</xdr:row>
      <xdr:rowOff>0</xdr:rowOff>
    </xdr:from>
    <xdr:to>
      <xdr:col>5</xdr:col>
      <xdr:colOff>725040</xdr:colOff>
      <xdr:row>26</xdr:row>
      <xdr:rowOff>189720</xdr:rowOff>
    </xdr:to>
    <xdr:graphicFrame>
      <xdr:nvGraphicFramePr>
        <xdr:cNvPr id="0" name="Chart 1"/>
        <xdr:cNvGraphicFramePr/>
      </xdr:nvGraphicFramePr>
      <xdr:xfrm>
        <a:off x="0" y="2571840"/>
        <a:ext cx="4354200" cy="2856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12</xdr:row>
      <xdr:rowOff>0</xdr:rowOff>
    </xdr:from>
    <xdr:to>
      <xdr:col>11</xdr:col>
      <xdr:colOff>725400</xdr:colOff>
      <xdr:row>18</xdr:row>
      <xdr:rowOff>189720</xdr:rowOff>
    </xdr:to>
    <xdr:graphicFrame>
      <xdr:nvGraphicFramePr>
        <xdr:cNvPr id="1" name="Chart 2"/>
        <xdr:cNvGraphicFramePr/>
      </xdr:nvGraphicFramePr>
      <xdr:xfrm>
        <a:off x="4354920" y="2571840"/>
        <a:ext cx="4354200" cy="13327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0</xdr:colOff>
      <xdr:row>20</xdr:row>
      <xdr:rowOff>0</xdr:rowOff>
    </xdr:from>
    <xdr:to>
      <xdr:col>11</xdr:col>
      <xdr:colOff>725400</xdr:colOff>
      <xdr:row>26</xdr:row>
      <xdr:rowOff>189720</xdr:rowOff>
    </xdr:to>
    <xdr:graphicFrame>
      <xdr:nvGraphicFramePr>
        <xdr:cNvPr id="2" name="Chart 3"/>
        <xdr:cNvGraphicFramePr/>
      </xdr:nvGraphicFramePr>
      <xdr:xfrm>
        <a:off x="4354920" y="4095720"/>
        <a:ext cx="4354200" cy="13327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29</xdr:row>
      <xdr:rowOff>0</xdr:rowOff>
    </xdr:from>
    <xdr:to>
      <xdr:col>5</xdr:col>
      <xdr:colOff>725040</xdr:colOff>
      <xdr:row>35</xdr:row>
      <xdr:rowOff>189720</xdr:rowOff>
    </xdr:to>
    <xdr:graphicFrame>
      <xdr:nvGraphicFramePr>
        <xdr:cNvPr id="3" name="Chart 4"/>
        <xdr:cNvGraphicFramePr/>
      </xdr:nvGraphicFramePr>
      <xdr:xfrm>
        <a:off x="0" y="5800680"/>
        <a:ext cx="4354200" cy="133272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36</xdr:row>
      <xdr:rowOff>0</xdr:rowOff>
    </xdr:from>
    <xdr:to>
      <xdr:col>5</xdr:col>
      <xdr:colOff>725040</xdr:colOff>
      <xdr:row>43</xdr:row>
      <xdr:rowOff>190080</xdr:rowOff>
    </xdr:to>
    <xdr:graphicFrame>
      <xdr:nvGraphicFramePr>
        <xdr:cNvPr id="4" name="Chart 5"/>
        <xdr:cNvGraphicFramePr/>
      </xdr:nvGraphicFramePr>
      <xdr:xfrm>
        <a:off x="0" y="7134120"/>
        <a:ext cx="4354200" cy="152352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2" min="1" style="1" width="10.3"/>
  </cols>
  <sheetData>
    <row r="1" customFormat="false" ht="25.5" hidden="false" customHeight="true" outlineLevel="0" collapsed="false">
      <c r="A1" s="2" t="s">
        <v>0</v>
      </c>
      <c r="B1" s="2"/>
      <c r="C1" s="2"/>
      <c r="D1" s="2"/>
      <c r="E1" s="2"/>
      <c r="F1" s="2"/>
      <c r="G1" s="2"/>
      <c r="H1" s="2"/>
      <c r="I1" s="2"/>
      <c r="J1" s="2"/>
      <c r="K1" s="2"/>
      <c r="L1" s="2"/>
    </row>
    <row r="2" customFormat="false" ht="21.75" hidden="false" customHeight="true" outlineLevel="0" collapsed="false">
      <c r="A2" s="2"/>
      <c r="B2" s="2"/>
      <c r="C2" s="2"/>
      <c r="D2" s="2"/>
      <c r="E2" s="2"/>
      <c r="F2" s="2"/>
      <c r="G2" s="2"/>
      <c r="H2" s="2"/>
      <c r="I2" s="2"/>
      <c r="J2" s="2"/>
      <c r="K2" s="2"/>
      <c r="L2" s="2"/>
    </row>
    <row r="3" customFormat="false" ht="18" hidden="false" customHeight="true" outlineLevel="0" collapsed="false">
      <c r="A3" s="3" t="s">
        <v>1</v>
      </c>
      <c r="B3" s="3"/>
      <c r="C3" s="3"/>
      <c r="D3" s="3"/>
      <c r="E3" s="3"/>
      <c r="F3" s="3"/>
      <c r="G3" s="3"/>
      <c r="H3" s="3"/>
      <c r="I3" s="3"/>
      <c r="J3" s="3"/>
      <c r="K3" s="3"/>
      <c r="L3" s="3"/>
    </row>
    <row r="4" customFormat="false" ht="7.5" hidden="false" customHeight="true" outlineLevel="0" collapsed="false"/>
    <row r="5" customFormat="false" ht="15" hidden="false" customHeight="true" outlineLevel="0" collapsed="false">
      <c r="A5" s="4"/>
      <c r="B5" s="4"/>
      <c r="C5" s="4"/>
      <c r="D5" s="4"/>
      <c r="E5" s="4"/>
      <c r="F5" s="4"/>
      <c r="G5" s="4"/>
      <c r="H5" s="4"/>
      <c r="I5" s="4"/>
      <c r="J5" s="4"/>
      <c r="K5" s="4"/>
      <c r="L5" s="4"/>
    </row>
    <row r="6" customFormat="false" ht="15" hidden="false" customHeight="true" outlineLevel="0" collapsed="false">
      <c r="A6" s="5" t="s">
        <v>2</v>
      </c>
      <c r="B6" s="5"/>
      <c r="C6" s="5"/>
      <c r="D6" s="5" t="s">
        <v>3</v>
      </c>
      <c r="E6" s="5"/>
      <c r="F6" s="5"/>
      <c r="G6" s="5" t="s">
        <v>4</v>
      </c>
      <c r="H6" s="5"/>
      <c r="I6" s="5"/>
      <c r="J6" s="5" t="s">
        <v>5</v>
      </c>
      <c r="K6" s="5"/>
      <c r="L6" s="5"/>
    </row>
    <row r="7" customFormat="false" ht="25.5" hidden="false" customHeight="true" outlineLevel="0" collapsed="false">
      <c r="A7" s="6" t="str">
        <f aca="false">ROUND(SUM(Data!D16:D17)/SUM(Data!C16:C17)*100,3)&amp;"%"</f>
        <v>0.861%</v>
      </c>
      <c r="B7" s="6"/>
      <c r="C7" s="6"/>
      <c r="D7" s="6" t="str">
        <f aca="false">TEXT(SUM(Data!C16:C17),"#,##0")</f>
        <v>81,501,645</v>
      </c>
      <c r="E7" s="6"/>
      <c r="F7" s="6"/>
      <c r="G7" s="6" t="str">
        <f aca="false">TEXT(SUM(Data!D16:D17),"#,##0")</f>
        <v>702,059</v>
      </c>
      <c r="H7" s="6"/>
      <c r="I7" s="6"/>
      <c r="J7" s="6" t="str">
        <f aca="false">TEXT(SUM(Data!B16:B17),"#,##0")</f>
        <v>10,382</v>
      </c>
      <c r="K7" s="6"/>
      <c r="L7" s="6"/>
    </row>
    <row r="8" customFormat="false" ht="15" hidden="false" customHeight="true" outlineLevel="0" collapsed="false">
      <c r="A8" s="6"/>
      <c r="B8" s="6"/>
      <c r="C8" s="6"/>
      <c r="D8" s="6"/>
      <c r="E8" s="6"/>
      <c r="F8" s="6"/>
      <c r="G8" s="6"/>
      <c r="H8" s="6"/>
      <c r="I8" s="6"/>
      <c r="J8" s="6"/>
      <c r="K8" s="6"/>
      <c r="L8" s="6"/>
    </row>
    <row r="9" customFormat="false" ht="15" hidden="false" customHeight="true" outlineLevel="0" collapsed="false">
      <c r="A9" s="6"/>
      <c r="B9" s="6"/>
      <c r="C9" s="6"/>
      <c r="D9" s="6"/>
      <c r="E9" s="6"/>
      <c r="F9" s="6"/>
      <c r="G9" s="6"/>
      <c r="H9" s="6"/>
      <c r="I9" s="6"/>
      <c r="J9" s="6"/>
      <c r="K9" s="6"/>
      <c r="L9" s="6"/>
    </row>
    <row r="10" customFormat="false" ht="15" hidden="false" customHeight="true" outlineLevel="0" collapsed="false">
      <c r="A10" s="7" t="s">
        <v>6</v>
      </c>
      <c r="B10" s="7"/>
      <c r="C10" s="7"/>
      <c r="D10" s="7" t="s">
        <v>7</v>
      </c>
      <c r="E10" s="7"/>
      <c r="F10" s="7"/>
      <c r="G10" s="7" t="s">
        <v>7</v>
      </c>
      <c r="H10" s="7"/>
      <c r="I10" s="7"/>
      <c r="J10" s="7" t="s">
        <v>8</v>
      </c>
      <c r="K10" s="7"/>
      <c r="L10" s="7"/>
    </row>
    <row r="11" customFormat="false" ht="7.5" hidden="false" customHeight="true" outlineLevel="0" collapsed="false"/>
    <row r="12" customFormat="false" ht="21.75" hidden="false" customHeight="true" outlineLevel="0" collapsed="false">
      <c r="A12" s="8" t="s">
        <v>9</v>
      </c>
      <c r="B12" s="8"/>
      <c r="C12" s="8"/>
      <c r="D12" s="8"/>
      <c r="E12" s="8"/>
      <c r="F12" s="8"/>
      <c r="G12" s="8" t="s">
        <v>10</v>
      </c>
      <c r="H12" s="8"/>
      <c r="I12" s="8"/>
      <c r="J12" s="8"/>
      <c r="K12" s="8"/>
      <c r="L12" s="8"/>
    </row>
    <row r="28" customFormat="false" ht="7.5" hidden="false" customHeight="true" outlineLevel="0" collapsed="false"/>
    <row r="29" customFormat="false" ht="21.75" hidden="false" customHeight="true" outlineLevel="0" collapsed="false">
      <c r="A29" s="8" t="s">
        <v>11</v>
      </c>
      <c r="B29" s="8"/>
      <c r="C29" s="8"/>
      <c r="D29" s="8"/>
      <c r="E29" s="8"/>
      <c r="F29" s="8"/>
      <c r="G29" s="8" t="s">
        <v>12</v>
      </c>
      <c r="H29" s="8"/>
      <c r="I29" s="8"/>
      <c r="J29" s="8"/>
      <c r="K29" s="8"/>
      <c r="L29" s="8"/>
    </row>
    <row r="30" customFormat="false" ht="15" hidden="false" customHeight="true" outlineLevel="0" collapsed="false">
      <c r="G30" s="9" t="s">
        <v>13</v>
      </c>
      <c r="H30" s="9"/>
      <c r="I30" s="9"/>
      <c r="J30" s="9"/>
      <c r="K30" s="9"/>
      <c r="L30" s="9"/>
    </row>
    <row r="31" customFormat="false" ht="15" hidden="false" customHeight="true" outlineLevel="0" collapsed="false">
      <c r="G31" s="9"/>
      <c r="H31" s="9"/>
      <c r="I31" s="9"/>
      <c r="J31" s="9"/>
      <c r="K31" s="9"/>
      <c r="L31" s="9"/>
    </row>
    <row r="32" customFormat="false" ht="15" hidden="false" customHeight="true" outlineLevel="0" collapsed="false">
      <c r="G32" s="9" t="s">
        <v>14</v>
      </c>
      <c r="H32" s="9"/>
      <c r="I32" s="9"/>
      <c r="J32" s="9"/>
      <c r="K32" s="9"/>
      <c r="L32" s="9"/>
    </row>
    <row r="33" customFormat="false" ht="15" hidden="false" customHeight="true" outlineLevel="0" collapsed="false">
      <c r="G33" s="9"/>
      <c r="H33" s="9"/>
      <c r="I33" s="9"/>
      <c r="J33" s="9"/>
      <c r="K33" s="9"/>
      <c r="L33" s="9"/>
    </row>
    <row r="34" customFormat="false" ht="15" hidden="false" customHeight="true" outlineLevel="0" collapsed="false">
      <c r="G34" s="9" t="s">
        <v>15</v>
      </c>
      <c r="H34" s="9"/>
      <c r="I34" s="9"/>
      <c r="J34" s="9"/>
      <c r="K34" s="9"/>
      <c r="L34" s="9"/>
    </row>
    <row r="35" customFormat="false" ht="15" hidden="false" customHeight="true" outlineLevel="0" collapsed="false">
      <c r="G35" s="9"/>
      <c r="H35" s="9"/>
      <c r="I35" s="9"/>
      <c r="J35" s="9"/>
      <c r="K35" s="9"/>
      <c r="L35" s="9"/>
    </row>
    <row r="36" customFormat="false" ht="15" hidden="false" customHeight="true" outlineLevel="0" collapsed="false">
      <c r="G36" s="9" t="s">
        <v>16</v>
      </c>
      <c r="H36" s="9"/>
      <c r="I36" s="9"/>
      <c r="J36" s="9"/>
      <c r="K36" s="9"/>
      <c r="L36" s="9"/>
    </row>
    <row r="37" customFormat="false" ht="15" hidden="false" customHeight="true" outlineLevel="0" collapsed="false">
      <c r="G37" s="9"/>
      <c r="H37" s="9"/>
      <c r="I37" s="9"/>
      <c r="J37" s="9"/>
      <c r="K37" s="9"/>
      <c r="L37" s="9"/>
    </row>
    <row r="38" customFormat="false" ht="15" hidden="false" customHeight="true" outlineLevel="0" collapsed="false">
      <c r="G38" s="9" t="s">
        <v>17</v>
      </c>
      <c r="H38" s="9"/>
      <c r="I38" s="9"/>
      <c r="J38" s="9"/>
      <c r="K38" s="9"/>
      <c r="L38" s="9"/>
    </row>
    <row r="39" customFormat="false" ht="15" hidden="false" customHeight="true" outlineLevel="0" collapsed="false">
      <c r="G39" s="9"/>
      <c r="H39" s="9"/>
      <c r="I39" s="9"/>
      <c r="J39" s="9"/>
      <c r="K39" s="9"/>
      <c r="L39" s="9"/>
    </row>
    <row r="40" customFormat="false" ht="15" hidden="false" customHeight="true" outlineLevel="0" collapsed="false">
      <c r="G40" s="10"/>
      <c r="H40" s="10"/>
      <c r="I40" s="10"/>
      <c r="J40" s="10"/>
      <c r="K40" s="10"/>
      <c r="L40" s="10"/>
    </row>
    <row r="41" customFormat="false" ht="15" hidden="false" customHeight="true" outlineLevel="0" collapsed="false">
      <c r="G41" s="10"/>
      <c r="H41" s="10"/>
      <c r="I41" s="10"/>
      <c r="J41" s="10"/>
      <c r="K41" s="10"/>
      <c r="L41" s="10"/>
    </row>
    <row r="42" customFormat="false" ht="15" hidden="false" customHeight="true" outlineLevel="0" collapsed="false">
      <c r="G42" s="10"/>
      <c r="H42" s="10"/>
      <c r="I42" s="10"/>
      <c r="J42" s="10"/>
      <c r="K42" s="10"/>
      <c r="L42" s="10"/>
    </row>
    <row r="43" customFormat="false" ht="15" hidden="false" customHeight="true" outlineLevel="0" collapsed="false">
      <c r="G43" s="10"/>
      <c r="H43" s="10"/>
      <c r="I43" s="10"/>
      <c r="J43" s="10"/>
      <c r="K43" s="10"/>
      <c r="L43" s="10"/>
    </row>
    <row r="45" customFormat="false" ht="13.5" hidden="false" customHeight="true" outlineLevel="0" collapsed="false">
      <c r="A45" s="11" t="s">
        <v>18</v>
      </c>
      <c r="B45" s="11"/>
      <c r="C45" s="11"/>
      <c r="D45" s="11"/>
      <c r="E45" s="11"/>
      <c r="F45" s="11"/>
      <c r="G45" s="11"/>
      <c r="H45" s="11"/>
      <c r="I45" s="11"/>
      <c r="J45" s="11"/>
      <c r="K45" s="11"/>
      <c r="L45" s="11"/>
    </row>
    <row r="46" customFormat="false" ht="13.5" hidden="false" customHeight="true" outlineLevel="0" collapsed="false">
      <c r="A46" s="11"/>
      <c r="B46" s="11"/>
      <c r="C46" s="11"/>
      <c r="D46" s="11"/>
      <c r="E46" s="11"/>
      <c r="F46" s="11"/>
      <c r="G46" s="11"/>
      <c r="H46" s="11"/>
      <c r="I46" s="11"/>
      <c r="J46" s="11"/>
      <c r="K46" s="11"/>
      <c r="L46" s="11"/>
    </row>
    <row r="47" customFormat="false" ht="13.5" hidden="false" customHeight="true" outlineLevel="0" collapsed="false">
      <c r="A47" s="11"/>
      <c r="B47" s="11"/>
      <c r="C47" s="11"/>
      <c r="D47" s="11"/>
      <c r="E47" s="11"/>
      <c r="F47" s="11"/>
      <c r="G47" s="11"/>
      <c r="H47" s="11"/>
      <c r="I47" s="11"/>
      <c r="J47" s="11"/>
      <c r="K47" s="11"/>
      <c r="L47" s="11"/>
    </row>
  </sheetData>
  <mergeCells count="24">
    <mergeCell ref="A1:L2"/>
    <mergeCell ref="A3:L3"/>
    <mergeCell ref="A6:C6"/>
    <mergeCell ref="D6:F6"/>
    <mergeCell ref="G6:I6"/>
    <mergeCell ref="J6:L6"/>
    <mergeCell ref="A7:C9"/>
    <mergeCell ref="D7:F9"/>
    <mergeCell ref="G7:I9"/>
    <mergeCell ref="J7:L9"/>
    <mergeCell ref="A10:C10"/>
    <mergeCell ref="D10:F10"/>
    <mergeCell ref="G10:I10"/>
    <mergeCell ref="J10:L10"/>
    <mergeCell ref="A12:F12"/>
    <mergeCell ref="G12:L12"/>
    <mergeCell ref="A29:F29"/>
    <mergeCell ref="G29:L29"/>
    <mergeCell ref="G30:L31"/>
    <mergeCell ref="G32:L33"/>
    <mergeCell ref="G34:L35"/>
    <mergeCell ref="G36:L37"/>
    <mergeCell ref="G38:L39"/>
    <mergeCell ref="A45:L47"/>
  </mergeCells>
  <printOptions headings="false" gridLines="false" gridLinesSet="true" horizontalCentered="false" verticalCentered="false"/>
  <pageMargins left="0.3" right="0.3" top="0.3" bottom="0.3"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5" min="1" style="1" width="22"/>
  </cols>
  <sheetData>
    <row r="1" customFormat="false" ht="15" hidden="false" customHeight="true" outlineLevel="0" collapsed="false">
      <c r="A1" s="12" t="s">
        <v>19</v>
      </c>
    </row>
    <row r="2" customFormat="false" ht="15" hidden="false" customHeight="true" outlineLevel="0" collapsed="false">
      <c r="A2" s="13" t="s">
        <v>20</v>
      </c>
      <c r="B2" s="13" t="s">
        <v>21</v>
      </c>
    </row>
    <row r="3" customFormat="false" ht="15" hidden="false" customHeight="true" outlineLevel="0" collapsed="false">
      <c r="A3" s="14" t="s">
        <v>22</v>
      </c>
      <c r="B3" s="15" t="n">
        <v>7043818</v>
      </c>
    </row>
    <row r="4" customFormat="false" ht="15" hidden="false" customHeight="true" outlineLevel="0" collapsed="false">
      <c r="A4" s="16" t="s">
        <v>23</v>
      </c>
      <c r="B4" s="17" t="n">
        <v>4490673</v>
      </c>
    </row>
    <row r="5" customFormat="false" ht="15" hidden="false" customHeight="true" outlineLevel="0" collapsed="false">
      <c r="A5" s="14" t="s">
        <v>24</v>
      </c>
      <c r="B5" s="15" t="n">
        <v>3772806</v>
      </c>
    </row>
    <row r="6" customFormat="false" ht="15" hidden="false" customHeight="true" outlineLevel="0" collapsed="false">
      <c r="A6" s="16" t="s">
        <v>25</v>
      </c>
      <c r="B6" s="17" t="n">
        <v>3395465.256</v>
      </c>
    </row>
    <row r="7" customFormat="false" ht="15" hidden="false" customHeight="true" outlineLevel="0" collapsed="false">
      <c r="A7" s="14" t="s">
        <v>26</v>
      </c>
      <c r="B7" s="15" t="n">
        <v>4573181</v>
      </c>
    </row>
    <row r="8" customFormat="false" ht="15" hidden="false" customHeight="true" outlineLevel="0" collapsed="false">
      <c r="A8" s="16" t="s">
        <v>27</v>
      </c>
      <c r="B8" s="17" t="n">
        <v>5005820</v>
      </c>
    </row>
    <row r="9" customFormat="false" ht="15" hidden="false" customHeight="true" outlineLevel="0" collapsed="false">
      <c r="A9" s="14" t="s">
        <v>28</v>
      </c>
      <c r="B9" s="15" t="n">
        <v>3673067</v>
      </c>
    </row>
    <row r="10" customFormat="false" ht="15" hidden="false" customHeight="true" outlineLevel="0" collapsed="false">
      <c r="A10" s="16" t="s">
        <v>29</v>
      </c>
      <c r="B10" s="17" t="n">
        <v>3700723</v>
      </c>
    </row>
    <row r="11" customFormat="false" ht="15" hidden="false" customHeight="true" outlineLevel="0" collapsed="false">
      <c r="A11" s="14" t="s">
        <v>30</v>
      </c>
      <c r="B11" s="15" t="n">
        <v>4804640</v>
      </c>
    </row>
    <row r="14" customFormat="false" ht="15" hidden="false" customHeight="true" outlineLevel="0" collapsed="false">
      <c r="A14" s="12" t="s">
        <v>31</v>
      </c>
    </row>
    <row r="15" customFormat="false" ht="15" hidden="false" customHeight="true" outlineLevel="0" collapsed="false">
      <c r="A15" s="13" t="s">
        <v>32</v>
      </c>
      <c r="B15" s="13" t="s">
        <v>33</v>
      </c>
      <c r="C15" s="13" t="s">
        <v>34</v>
      </c>
      <c r="D15" s="13" t="s">
        <v>35</v>
      </c>
      <c r="E15" s="13" t="s">
        <v>36</v>
      </c>
    </row>
    <row r="16" customFormat="false" ht="15" hidden="false" customHeight="true" outlineLevel="0" collapsed="false">
      <c r="A16" s="14" t="s">
        <v>37</v>
      </c>
      <c r="B16" s="15" t="n">
        <v>293</v>
      </c>
      <c r="C16" s="15" t="n">
        <v>1738506</v>
      </c>
      <c r="D16" s="15" t="n">
        <v>25487</v>
      </c>
      <c r="E16" s="18" t="n">
        <v>1.46602887766853</v>
      </c>
    </row>
    <row r="17" customFormat="false" ht="15" hidden="false" customHeight="true" outlineLevel="0" collapsed="false">
      <c r="A17" s="16" t="s">
        <v>38</v>
      </c>
      <c r="B17" s="17" t="n">
        <v>10089</v>
      </c>
      <c r="C17" s="17" t="n">
        <v>79763139.256</v>
      </c>
      <c r="D17" s="17" t="n">
        <v>676572</v>
      </c>
      <c r="E17" s="19" t="n">
        <v>0.848226394185089</v>
      </c>
    </row>
    <row r="20" customFormat="false" ht="15" hidden="false" customHeight="true" outlineLevel="0" collapsed="false">
      <c r="A20" s="12" t="s">
        <v>39</v>
      </c>
    </row>
    <row r="21" customFormat="false" ht="15" hidden="false" customHeight="true" outlineLevel="0" collapsed="false">
      <c r="A21" s="13" t="s">
        <v>40</v>
      </c>
      <c r="B21" s="13" t="s">
        <v>33</v>
      </c>
      <c r="C21" s="13" t="s">
        <v>34</v>
      </c>
      <c r="D21" s="13" t="s">
        <v>35</v>
      </c>
      <c r="E21" s="13" t="s">
        <v>36</v>
      </c>
    </row>
    <row r="22" customFormat="false" ht="15" hidden="false" customHeight="true" outlineLevel="0" collapsed="false">
      <c r="A22" s="14" t="s">
        <v>41</v>
      </c>
      <c r="B22" s="15" t="n">
        <v>375</v>
      </c>
      <c r="C22" s="15" t="n">
        <v>766719</v>
      </c>
      <c r="D22" s="15" t="n">
        <v>6107</v>
      </c>
      <c r="E22" s="18" t="n">
        <v>0.796510846868279</v>
      </c>
    </row>
    <row r="23" customFormat="false" ht="15" hidden="false" customHeight="true" outlineLevel="0" collapsed="false">
      <c r="A23" s="16" t="s">
        <v>42</v>
      </c>
      <c r="B23" s="17" t="n">
        <v>6461</v>
      </c>
      <c r="C23" s="17" t="n">
        <v>72739753.256</v>
      </c>
      <c r="D23" s="17" t="n">
        <v>586909</v>
      </c>
      <c r="E23" s="19" t="n">
        <v>0.806861411715867</v>
      </c>
    </row>
    <row r="24" customFormat="false" ht="15" hidden="false" customHeight="true" outlineLevel="0" collapsed="false">
      <c r="A24" s="14" t="s">
        <v>43</v>
      </c>
      <c r="B24" s="15" t="n">
        <v>3546</v>
      </c>
      <c r="C24" s="15" t="n">
        <v>7995173</v>
      </c>
      <c r="D24" s="15" t="n">
        <v>109043</v>
      </c>
      <c r="E24" s="18" t="n">
        <v>1.36386041928048</v>
      </c>
    </row>
    <row r="27" customFormat="false" ht="15" hidden="false" customHeight="true" outlineLevel="0" collapsed="false">
      <c r="A27" s="12" t="s">
        <v>44</v>
      </c>
    </row>
    <row r="28" customFormat="false" ht="15" hidden="false" customHeight="true" outlineLevel="0" collapsed="false">
      <c r="A28" s="13" t="s">
        <v>45</v>
      </c>
      <c r="B28" s="13" t="s">
        <v>33</v>
      </c>
      <c r="C28" s="13" t="s">
        <v>34</v>
      </c>
      <c r="D28" s="13" t="s">
        <v>35</v>
      </c>
      <c r="E28" s="13" t="s">
        <v>36</v>
      </c>
    </row>
    <row r="29" customFormat="false" ht="15" hidden="false" customHeight="true" outlineLevel="0" collapsed="false">
      <c r="A29" s="14" t="s">
        <v>46</v>
      </c>
      <c r="B29" s="15" t="n">
        <v>59</v>
      </c>
      <c r="C29" s="15" t="n">
        <v>170178</v>
      </c>
      <c r="D29" s="15" t="n">
        <v>6384</v>
      </c>
      <c r="E29" s="18" t="n">
        <v>3.75136621654973</v>
      </c>
    </row>
    <row r="30" customFormat="false" ht="15" hidden="false" customHeight="true" outlineLevel="0" collapsed="false">
      <c r="A30" s="16" t="s">
        <v>47</v>
      </c>
      <c r="B30" s="17" t="n">
        <v>50</v>
      </c>
      <c r="C30" s="17" t="n">
        <v>212024</v>
      </c>
      <c r="D30" s="17" t="n">
        <v>7698</v>
      </c>
      <c r="E30" s="19" t="n">
        <v>3.63072105044712</v>
      </c>
    </row>
    <row r="31" customFormat="false" ht="15" hidden="false" customHeight="true" outlineLevel="0" collapsed="false">
      <c r="A31" s="14" t="s">
        <v>48</v>
      </c>
      <c r="B31" s="15" t="n">
        <v>57</v>
      </c>
      <c r="C31" s="15" t="n">
        <v>557195</v>
      </c>
      <c r="D31" s="15" t="n">
        <v>10936</v>
      </c>
      <c r="E31" s="18" t="n">
        <v>1.96268810739508</v>
      </c>
    </row>
    <row r="32" customFormat="false" ht="15" hidden="false" customHeight="true" outlineLevel="0" collapsed="false">
      <c r="A32" s="16" t="s">
        <v>49</v>
      </c>
      <c r="B32" s="17" t="n">
        <v>104</v>
      </c>
      <c r="C32" s="17" t="n">
        <v>234879</v>
      </c>
      <c r="D32" s="17" t="n">
        <v>4608</v>
      </c>
      <c r="E32" s="19" t="n">
        <v>1.96186121364618</v>
      </c>
    </row>
    <row r="33" customFormat="false" ht="15" hidden="false" customHeight="true" outlineLevel="0" collapsed="false">
      <c r="A33" s="14" t="s">
        <v>50</v>
      </c>
      <c r="B33" s="15" t="n">
        <v>67</v>
      </c>
      <c r="C33" s="15" t="n">
        <v>336362</v>
      </c>
      <c r="D33" s="15" t="n">
        <v>5810</v>
      </c>
      <c r="E33" s="18" t="n">
        <v>1.72730570040611</v>
      </c>
    </row>
    <row r="36" customFormat="false" ht="15" hidden="false" customHeight="true" outlineLevel="0" collapsed="false">
      <c r="A36" s="12" t="s">
        <v>51</v>
      </c>
    </row>
    <row r="37" customFormat="false" ht="15" hidden="false" customHeight="true" outlineLevel="0" collapsed="false">
      <c r="A37" s="13" t="s">
        <v>45</v>
      </c>
      <c r="B37" s="13" t="s">
        <v>33</v>
      </c>
      <c r="C37" s="13" t="s">
        <v>34</v>
      </c>
      <c r="D37" s="13" t="s">
        <v>35</v>
      </c>
      <c r="E37" s="13" t="s">
        <v>36</v>
      </c>
    </row>
    <row r="38" customFormat="false" ht="15" hidden="false" customHeight="true" outlineLevel="0" collapsed="false">
      <c r="A38" s="14" t="s">
        <v>52</v>
      </c>
      <c r="B38" s="15" t="n">
        <v>35</v>
      </c>
      <c r="C38" s="15" t="n">
        <v>138293</v>
      </c>
      <c r="D38" s="15" t="n">
        <v>556</v>
      </c>
      <c r="E38" s="18" t="n">
        <v>0.402044933583045</v>
      </c>
    </row>
    <row r="39" customFormat="false" ht="15" hidden="false" customHeight="true" outlineLevel="0" collapsed="false">
      <c r="A39" s="16" t="s">
        <v>53</v>
      </c>
      <c r="B39" s="17" t="n">
        <v>31</v>
      </c>
      <c r="C39" s="17" t="n">
        <v>144875</v>
      </c>
      <c r="D39" s="17" t="n">
        <v>723</v>
      </c>
      <c r="E39" s="19" t="n">
        <v>0.499050905953408</v>
      </c>
    </row>
    <row r="40" customFormat="false" ht="15" hidden="false" customHeight="true" outlineLevel="0" collapsed="false">
      <c r="A40" s="14" t="s">
        <v>54</v>
      </c>
      <c r="B40" s="15" t="n">
        <v>77</v>
      </c>
      <c r="C40" s="15" t="n">
        <v>162998</v>
      </c>
      <c r="D40" s="15" t="n">
        <v>977</v>
      </c>
      <c r="E40" s="18" t="n">
        <v>0.599393857593345</v>
      </c>
    </row>
    <row r="41" customFormat="false" ht="15" hidden="false" customHeight="true" outlineLevel="0" collapsed="false">
      <c r="A41" s="16" t="s">
        <v>55</v>
      </c>
      <c r="B41" s="17" t="n">
        <v>146</v>
      </c>
      <c r="C41" s="17" t="n">
        <v>103876</v>
      </c>
      <c r="D41" s="17" t="n">
        <v>631</v>
      </c>
      <c r="E41" s="19" t="n">
        <v>0.607455042550734</v>
      </c>
    </row>
    <row r="42" customFormat="false" ht="15" hidden="false" customHeight="true" outlineLevel="0" collapsed="false">
      <c r="A42" s="14" t="s">
        <v>56</v>
      </c>
      <c r="B42" s="15" t="n">
        <v>85</v>
      </c>
      <c r="C42" s="15" t="n">
        <v>111932</v>
      </c>
      <c r="D42" s="15" t="n">
        <v>710</v>
      </c>
      <c r="E42" s="18" t="n">
        <v>0.634313690454919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2026-09-01T03:11:37Z</dcterms:created>
  <dc:creator>openpyxl</dc:creator>
  <dc:description/>
  <dc:language>en-US</dc:language>
  <cp:lastModifiedBy/>
  <dcterms:modified xsi:type="dcterms:W3CDTF">2026-09-07T18:06:38Z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